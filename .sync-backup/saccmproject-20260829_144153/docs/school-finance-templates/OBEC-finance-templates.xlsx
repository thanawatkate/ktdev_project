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้าปก" sheetId="1" state="visible" r:id="rId1"/>
    <sheet xmlns:r="http://schemas.openxmlformats.org/officeDocument/2006/relationships" name="เช็กลิสต์มาตรฐาน" sheetId="2" state="visible" r:id="rId2"/>
    <sheet xmlns:r="http://schemas.openxmlformats.org/officeDocument/2006/relationships" name="แผนแก้ไข (CAP)" sheetId="3" state="visible" r:id="rId3"/>
    <sheet xmlns:r="http://schemas.openxmlformats.org/officeDocument/2006/relationships" name="รายงานสรุป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0" fillId="0" borderId="0" applyProtection="1" pivotButton="0" quotePrefix="0" xfId="0">
      <protection locked="0" hidden="0"/>
    </xf>
    <xf numFmtId="10" fontId="0" fillId="0" borderId="0" pivotButton="0" quotePrefix="0" xfId="0"/>
    <xf numFmtId="9" fontId="0" fillId="0" borderId="0" applyProtection="1" pivotButton="0" quotePrefix="0" xfId="0">
      <protection locked="0" hidden="0"/>
    </xf>
    <xf numFmtId="10" fontId="0" fillId="0" borderId="0" applyAlignment="1" pivotButton="0" quotePrefix="0" xfId="0">
      <alignment vertical="top" wrapText="1"/>
    </xf>
    <xf numFmtId="164" fontId="0" fillId="0" borderId="0" applyAlignment="1" applyProtection="1" pivotButton="0" quotePrefix="0" xfId="0">
      <alignment vertical="top" wrapText="1"/>
      <protection locked="0" hidden="0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ระบบ</author>
  </authors>
  <commentList>
    <comment ref="C1" authorId="0" shapeId="0">
      <text>
        <t>กรอกเฉพาะ 0, 1, 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0" customWidth="1" min="3" max="3"/>
    <col width="10" customWidth="1" min="4" max="4"/>
  </cols>
  <sheetData>
    <row r="1">
      <c r="A1" s="1" t="inlineStr">
        <is>
          <t>แบบประเมินมาตรฐานงานการเงินโรงเรียน (สพฐ.)</t>
        </is>
      </c>
    </row>
    <row r="2"/>
    <row r="3">
      <c r="A3" s="2" t="inlineStr">
        <is>
          <t>เลขที่เอกสาร</t>
        </is>
      </c>
      <c r="B3" s="3" t="inlineStr">
        <is>
          <t>OBEC-FIN-CHK-001</t>
        </is>
      </c>
    </row>
    <row r="4">
      <c r="A4" s="2" t="inlineStr">
        <is>
          <t>เวอร์ชันแบบฟอร์ม</t>
        </is>
      </c>
      <c r="B4" s="4" t="inlineStr">
        <is>
          <t>v1.0</t>
        </is>
      </c>
    </row>
    <row r="5">
      <c r="A5" s="2" t="inlineStr">
        <is>
          <t>หน่วยงานต้นสังกัด</t>
        </is>
      </c>
      <c r="B5" s="4" t="inlineStr">
        <is>
          <t>สำนักงานคณะกรรมการการศึกษาขั้นพื้นฐาน (สพฐ.)</t>
        </is>
      </c>
    </row>
    <row r="6">
      <c r="A6" s="2" t="inlineStr">
        <is>
          <t>ชื่อโรงเรียน</t>
        </is>
      </c>
      <c r="B6" s="4" t="inlineStr"/>
    </row>
    <row r="7">
      <c r="A7" s="2" t="inlineStr">
        <is>
          <t>รหัสสถานศึกษา (ถ้ามี)</t>
        </is>
      </c>
      <c r="B7" s="4" t="inlineStr"/>
    </row>
    <row r="8">
      <c r="A8" s="2" t="inlineStr">
        <is>
          <t>ปีงบประมาณ</t>
        </is>
      </c>
      <c r="B8" s="4" t="inlineStr"/>
    </row>
    <row r="9">
      <c r="A9" s="2" t="inlineStr">
        <is>
          <t>ไตรมาส</t>
        </is>
      </c>
      <c r="B9" s="4" t="inlineStr"/>
    </row>
    <row r="10">
      <c r="A10" s="2" t="inlineStr">
        <is>
          <t>รอบประเมิน</t>
        </is>
      </c>
      <c r="B10" s="4" t="inlineStr"/>
    </row>
    <row r="11">
      <c r="A11" s="2" t="inlineStr">
        <is>
          <t>ผู้ประเมิน</t>
        </is>
      </c>
      <c r="B11" s="4" t="inlineStr"/>
    </row>
    <row r="12">
      <c r="A12" s="2" t="inlineStr">
        <is>
          <t>ตำแหน่ง</t>
        </is>
      </c>
      <c r="B12" s="4" t="inlineStr"/>
    </row>
    <row r="13">
      <c r="A13" s="2" t="inlineStr">
        <is>
          <t>วันที่ประเมิน</t>
        </is>
      </c>
      <c r="B13" s="4" t="inlineStr"/>
    </row>
    <row r="14">
      <c r="A14" s="2" t="inlineStr">
        <is>
          <t>หมายเหตุ</t>
        </is>
      </c>
      <c r="B14" s="4" t="inlineStr"/>
    </row>
    <row r="15"/>
    <row r="16">
      <c r="A16" s="2" t="inlineStr">
        <is>
          <t>คำแนะนำการใช้งาน</t>
        </is>
      </c>
    </row>
    <row r="17">
      <c r="A17" s="3" t="inlineStr">
        <is>
          <t>1) กรอกข้อมูลพื้นฐานในหน้าปกนี้
2) ไปที่ชีต 'เช็กลิสต์มาตรฐาน' เพื่อให้คะแนน 0-2
3) กรอกแผนแก้ไขในชีต 'แผนแก้ไข (CAP)'
4) ตรวจผลรวมอัตโนมัติในชีต 'รายงานสรุป'</t>
        </is>
      </c>
    </row>
    <row r="18"/>
    <row r="19"/>
    <row r="2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4">
    <mergeCell ref="B10:D10"/>
    <mergeCell ref="A1:D1"/>
    <mergeCell ref="B11:D11"/>
    <mergeCell ref="B3:D3"/>
    <mergeCell ref="B5:D5"/>
    <mergeCell ref="B14:D14"/>
    <mergeCell ref="A17:D20"/>
    <mergeCell ref="B8:D8"/>
    <mergeCell ref="B4:D4"/>
    <mergeCell ref="B9:D9"/>
    <mergeCell ref="B13:D13"/>
    <mergeCell ref="B12:D12"/>
    <mergeCell ref="B7:D7"/>
    <mergeCell ref="B6:D6"/>
  </mergeCells>
  <dataValidations count="4">
    <dataValidation sqref="B8" showDropDown="0" showInputMessage="0" showErrorMessage="0" allowBlank="0" type="list">
      <formula1>"2568,2569,2570,2571,2572,2573,2574,2575"</formula1>
    </dataValidation>
    <dataValidation sqref="B9" showDropDown="0" showInputMessage="0" showErrorMessage="0" allowBlank="0" type="list">
      <formula1>"ไตรมาส 1,ไตรมาส 2,ไตรมาส 3,ไตรมาส 4,ทั้งปี"</formula1>
    </dataValidation>
    <dataValidation sqref="B10" showDropDown="0" showInputMessage="0" showErrorMessage="0" allowBlank="0" type="list">
      <formula1>"เดือน,ไตรมาส,ครึ่งปี,รายปี"</formula1>
    </dataValidation>
    <dataValidation sqref="B14" showDropDown="0" showInputMessage="0" showErrorMessage="0" allowBlank="0" errorTitle="รูปแบบวันที่ไม่ถูกต้อง" error="กรุณากรอกวันที่ให้ถูกต้อง เช่น 30/04/2026" type="date" operator="between">
      <formula1>DATE(2020,1,1)</formula1>
      <formula2>DATE(2100,12,31)</formula2>
    </dataValidation>
  </dataValidations>
  <printOptions horizontalCentered="1"/>
  <pageMargins left="0.35" right="0.35" top="0.5" bottom="0.5" header="0.3" footer="0.3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0" customWidth="1" min="4" max="4"/>
    <col width="16" customWidth="1" min="5" max="5"/>
    <col width="16" customWidth="1" min="6" max="6"/>
    <col width="26" customWidth="1" min="7" max="7"/>
  </cols>
  <sheetData>
    <row r="1">
      <c r="A1" s="5" t="inlineStr">
        <is>
          <t>หมวด</t>
        </is>
      </c>
      <c r="B1" s="5" t="inlineStr">
        <is>
          <t>รายการประเมิน</t>
        </is>
      </c>
      <c r="C1" s="5" t="inlineStr">
        <is>
          <t>คะแนน (0-2)</t>
        </is>
      </c>
      <c r="D1" s="5" t="inlineStr">
        <is>
          <t>น้ำหนัก</t>
        </is>
      </c>
      <c r="E1" s="5" t="inlineStr">
        <is>
          <t>คะแนนถ่วงน้ำหนัก</t>
        </is>
      </c>
      <c r="F1" s="5" t="inlineStr">
        <is>
          <t>สถานะ</t>
        </is>
      </c>
      <c r="G1" s="5" t="inlineStr">
        <is>
          <t>หมายเหตุ</t>
        </is>
      </c>
    </row>
    <row r="2">
      <c r="A2" t="inlineStr">
        <is>
          <t>ธรรมาภิบาล</t>
        </is>
      </c>
      <c r="B2" s="3" t="inlineStr">
        <is>
          <t>มีคำสั่งมอบหมายงานการเงินเป็นลายลักษณ์อักษร</t>
        </is>
      </c>
      <c r="C2" s="6" t="inlineStr"/>
      <c r="D2" s="7" t="n">
        <v>1</v>
      </c>
      <c r="E2" s="8">
        <f>IF(C2="","",C2*D2)</f>
        <v/>
      </c>
      <c r="F2">
        <f>IF(C2="","",IF(C2=2,"ผ่าน",IF(C2=1,"ต้องปรับปรุง","ไม่ผ่าน")))</f>
        <v/>
      </c>
      <c r="G2" s="9" t="inlineStr"/>
    </row>
    <row r="3">
      <c r="A3" t="inlineStr">
        <is>
          <t>ธรรมาภิบาล</t>
        </is>
      </c>
      <c r="B3" s="3" t="inlineStr">
        <is>
          <t>แยกหน้าที่ อนุมัติ/รับ/จ่าย/บันทึก ชัดเจน</t>
        </is>
      </c>
      <c r="C3" s="6" t="inlineStr"/>
      <c r="D3" s="7" t="n">
        <v>1</v>
      </c>
      <c r="E3" s="8">
        <f>IF(C3="","",C3*D3)</f>
        <v/>
      </c>
      <c r="F3">
        <f>IF(C3="","",IF(C3=2,"ผ่าน",IF(C3=1,"ต้องปรับปรุง","ไม่ผ่าน")))</f>
        <v/>
      </c>
      <c r="G3" s="9" t="inlineStr"/>
    </row>
    <row r="4">
      <c r="A4" t="inlineStr">
        <is>
          <t>งบประมาณ</t>
        </is>
      </c>
      <c r="B4" s="3" t="inlineStr">
        <is>
          <t>มีแผนปฏิบัติการประจำปีเชื่อมโยงงบประมาณ</t>
        </is>
      </c>
      <c r="C4" s="6" t="inlineStr"/>
      <c r="D4" s="7" t="n">
        <v>1</v>
      </c>
      <c r="E4" s="8">
        <f>IF(C4="","",C4*D4)</f>
        <v/>
      </c>
      <c r="F4">
        <f>IF(C4="","",IF(C4=2,"ผ่าน",IF(C4=1,"ต้องปรับปรุง","ไม่ผ่าน")))</f>
        <v/>
      </c>
      <c r="G4" s="9" t="inlineStr"/>
    </row>
    <row r="5">
      <c r="A5" t="inlineStr">
        <is>
          <t>งบประมาณ</t>
        </is>
      </c>
      <c r="B5" s="3" t="inlineStr">
        <is>
          <t>มีทะเบียนคุมงบรายโครงการเป็นปัจจุบัน</t>
        </is>
      </c>
      <c r="C5" s="6" t="inlineStr"/>
      <c r="D5" s="7" t="n">
        <v>1</v>
      </c>
      <c r="E5" s="8">
        <f>IF(C5="","",C5*D5)</f>
        <v/>
      </c>
      <c r="F5">
        <f>IF(C5="","",IF(C5=2,"ผ่าน",IF(C5=1,"ต้องปรับปรุง","ไม่ผ่าน")))</f>
        <v/>
      </c>
      <c r="G5" s="9" t="inlineStr"/>
    </row>
    <row r="6">
      <c r="A6" t="inlineStr">
        <is>
          <t>งบประมาณ</t>
        </is>
      </c>
      <c r="B6" s="3" t="inlineStr">
        <is>
          <t>ตรวจสอบงบคงเหลือก่อนอนุมัติทุกครั้ง</t>
        </is>
      </c>
      <c r="C6" s="6" t="inlineStr"/>
      <c r="D6" s="7" t="n">
        <v>1</v>
      </c>
      <c r="E6" s="8">
        <f>IF(C6="","",C6*D6)</f>
        <v/>
      </c>
      <c r="F6">
        <f>IF(C6="","",IF(C6=2,"ผ่าน",IF(C6=1,"ต้องปรับปรุง","ไม่ผ่าน")))</f>
        <v/>
      </c>
      <c r="G6" s="9" t="inlineStr"/>
    </row>
    <row r="7">
      <c r="A7" t="inlineStr">
        <is>
          <t>รับเงิน</t>
        </is>
      </c>
      <c r="B7" s="3" t="inlineStr">
        <is>
          <t>ออกเลขที่ใบเสร็จต่อเนื่อง ตรวจสอบย้อนหลังได้</t>
        </is>
      </c>
      <c r="C7" s="6" t="inlineStr"/>
      <c r="D7" s="7" t="n">
        <v>1</v>
      </c>
      <c r="E7" s="8">
        <f>IF(C7="","",C7*D7)</f>
        <v/>
      </c>
      <c r="F7">
        <f>IF(C7="","",IF(C7=2,"ผ่าน",IF(C7=1,"ต้องปรับปรุง","ไม่ผ่าน")))</f>
        <v/>
      </c>
      <c r="G7" s="9" t="inlineStr"/>
    </row>
    <row r="8">
      <c r="A8" t="inlineStr">
        <is>
          <t>รับเงิน</t>
        </is>
      </c>
      <c r="B8" s="3" t="inlineStr">
        <is>
          <t>นำฝากเงินเข้าบัญชีภายในเวลาที่กำหนด</t>
        </is>
      </c>
      <c r="C8" s="6" t="inlineStr"/>
      <c r="D8" s="7" t="n">
        <v>1</v>
      </c>
      <c r="E8" s="8">
        <f>IF(C8="","",C8*D8)</f>
        <v/>
      </c>
      <c r="F8">
        <f>IF(C8="","",IF(C8=2,"ผ่าน",IF(C8=1,"ต้องปรับปรุง","ไม่ผ่าน")))</f>
        <v/>
      </c>
      <c r="G8" s="9" t="inlineStr"/>
    </row>
    <row r="9">
      <c r="A9" t="inlineStr">
        <is>
          <t>รับเงิน</t>
        </is>
      </c>
      <c r="B9" s="3" t="inlineStr">
        <is>
          <t>กระทบยอดรายรับกับบัญชีธนาคารสม่ำเสมอ</t>
        </is>
      </c>
      <c r="C9" s="6" t="inlineStr"/>
      <c r="D9" s="7" t="n">
        <v>1</v>
      </c>
      <c r="E9" s="8">
        <f>IF(C9="","",C9*D9)</f>
        <v/>
      </c>
      <c r="F9">
        <f>IF(C9="","",IF(C9=2,"ผ่าน",IF(C9=1,"ต้องปรับปรุง","ไม่ผ่าน")))</f>
        <v/>
      </c>
      <c r="G9" s="9" t="inlineStr"/>
    </row>
    <row r="10">
      <c r="A10" t="inlineStr">
        <is>
          <t>เบิกจ่าย</t>
        </is>
      </c>
      <c r="B10" s="3" t="inlineStr">
        <is>
          <t>เอกสารเบิกจ่ายครบก่อนอนุมัติจ่าย</t>
        </is>
      </c>
      <c r="C10" s="6" t="inlineStr"/>
      <c r="D10" s="7" t="n">
        <v>1</v>
      </c>
      <c r="E10" s="8">
        <f>IF(C10="","",C10*D10)</f>
        <v/>
      </c>
      <c r="F10">
        <f>IF(C10="","",IF(C10=2,"ผ่าน",IF(C10=1,"ต้องปรับปรุง","ไม่ผ่าน")))</f>
        <v/>
      </c>
      <c r="G10" s="9" t="inlineStr"/>
    </row>
    <row r="11">
      <c r="A11" t="inlineStr">
        <is>
          <t>เบิกจ่าย</t>
        </is>
      </c>
      <c r="B11" s="3" t="inlineStr">
        <is>
          <t>จ่ายตรงตามวัตถุประสงค์และไม่เกินวงเงิน</t>
        </is>
      </c>
      <c r="C11" s="6" t="inlineStr"/>
      <c r="D11" s="7" t="n">
        <v>1</v>
      </c>
      <c r="E11" s="8">
        <f>IF(C11="","",C11*D11)</f>
        <v/>
      </c>
      <c r="F11">
        <f>IF(C11="","",IF(C11=2,"ผ่าน",IF(C11=1,"ต้องปรับปรุง","ไม่ผ่าน")))</f>
        <v/>
      </c>
      <c r="G11" s="9" t="inlineStr"/>
    </row>
    <row r="12">
      <c r="A12" t="inlineStr">
        <is>
          <t>พัสดุ</t>
        </is>
      </c>
      <c r="B12" s="3" t="inlineStr">
        <is>
          <t>วิธีจัดซื้อจัดจ้างถูกต้องตามวงเงิน</t>
        </is>
      </c>
      <c r="C12" s="6" t="inlineStr"/>
      <c r="D12" s="7" t="n">
        <v>1</v>
      </c>
      <c r="E12" s="8">
        <f>IF(C12="","",C12*D12)</f>
        <v/>
      </c>
      <c r="F12">
        <f>IF(C12="","",IF(C12=2,"ผ่าน",IF(C12=1,"ต้องปรับปรุง","ไม่ผ่าน")))</f>
        <v/>
      </c>
      <c r="G12" s="9" t="inlineStr"/>
    </row>
    <row r="13">
      <c r="A13" t="inlineStr">
        <is>
          <t>พัสดุ</t>
        </is>
      </c>
      <c r="B13" s="3" t="inlineStr">
        <is>
          <t>มีใบตรวจรับก่อนเบิกจ่ายทุกครั้ง</t>
        </is>
      </c>
      <c r="C13" s="6" t="inlineStr"/>
      <c r="D13" s="7" t="n">
        <v>1</v>
      </c>
      <c r="E13" s="8">
        <f>IF(C13="","",C13*D13)</f>
        <v/>
      </c>
      <c r="F13">
        <f>IF(C13="","",IF(C13=2,"ผ่าน",IF(C13=1,"ต้องปรับปรุง","ไม่ผ่าน")))</f>
        <v/>
      </c>
      <c r="G13" s="9" t="inlineStr"/>
    </row>
    <row r="14">
      <c r="A14" t="inlineStr">
        <is>
          <t>บัญชี</t>
        </is>
      </c>
      <c r="B14" s="3" t="inlineStr">
        <is>
          <t>บันทึกรายการรับ-จ่ายเป็นปัจจุบัน</t>
        </is>
      </c>
      <c r="C14" s="6" t="inlineStr"/>
      <c r="D14" s="7" t="n">
        <v>1</v>
      </c>
      <c r="E14" s="8">
        <f>IF(C14="","",C14*D14)</f>
        <v/>
      </c>
      <c r="F14">
        <f>IF(C14="","",IF(C14=2,"ผ่าน",IF(C14=1,"ต้องปรับปรุง","ไม่ผ่าน")))</f>
        <v/>
      </c>
      <c r="G14" s="9" t="inlineStr"/>
    </row>
    <row r="15">
      <c r="A15" t="inlineStr">
        <is>
          <t>บัญชี</t>
        </is>
      </c>
      <c r="B15" s="3" t="inlineStr">
        <is>
          <t>ปิดบัญชีและสรุปรายเดือนตรงเวลา</t>
        </is>
      </c>
      <c r="C15" s="6" t="inlineStr"/>
      <c r="D15" s="7" t="n">
        <v>1</v>
      </c>
      <c r="E15" s="8">
        <f>IF(C15="","",C15*D15)</f>
        <v/>
      </c>
      <c r="F15">
        <f>IF(C15="","",IF(C15=2,"ผ่าน",IF(C15=1,"ต้องปรับปรุง","ไม่ผ่าน")))</f>
        <v/>
      </c>
      <c r="G15" s="9" t="inlineStr"/>
    </row>
    <row r="16">
      <c r="A16" t="inlineStr">
        <is>
          <t>ควบคุมภายใน</t>
        </is>
      </c>
      <c r="B16" s="3" t="inlineStr">
        <is>
          <t>กระทบยอดธนาคารทุกเดือนและมีผู้ตรวจทาน</t>
        </is>
      </c>
      <c r="C16" s="6" t="inlineStr"/>
      <c r="D16" s="7" t="n">
        <v>1</v>
      </c>
      <c r="E16" s="8">
        <f>IF(C16="","",C16*D16)</f>
        <v/>
      </c>
      <c r="F16">
        <f>IF(C16="","",IF(C16=2,"ผ่าน",IF(C16=1,"ต้องปรับปรุง","ไม่ผ่าน")))</f>
        <v/>
      </c>
      <c r="G16" s="9" t="inlineStr"/>
    </row>
    <row r="17">
      <c r="A17" t="inlineStr">
        <is>
          <t>ควบคุมภายใน</t>
        </is>
      </c>
      <c r="B17" s="3" t="inlineStr">
        <is>
          <t>ตรวจนับเงินสดคงเหลือและจัดทำรายงาน</t>
        </is>
      </c>
      <c r="C17" s="6" t="inlineStr"/>
      <c r="D17" s="7" t="n">
        <v>1</v>
      </c>
      <c r="E17" s="8">
        <f>IF(C17="","",C17*D17)</f>
        <v/>
      </c>
      <c r="F17">
        <f>IF(C17="","",IF(C17=2,"ผ่าน",IF(C17=1,"ต้องปรับปรุง","ไม่ผ่าน")))</f>
        <v/>
      </c>
      <c r="G17" s="9" t="inlineStr"/>
    </row>
    <row r="18">
      <c r="A18" t="inlineStr">
        <is>
          <t>รายงาน</t>
        </is>
      </c>
      <c r="B18" s="3" t="inlineStr">
        <is>
          <t>ส่งรายงานการเงินให้ผู้บริหารตามรอบเวลา</t>
        </is>
      </c>
      <c r="C18" s="6" t="inlineStr"/>
      <c r="D18" s="7" t="n">
        <v>1</v>
      </c>
      <c r="E18" s="8">
        <f>IF(C18="","",C18*D18)</f>
        <v/>
      </c>
      <c r="F18">
        <f>IF(C18="","",IF(C18=2,"ผ่าน",IF(C18=1,"ต้องปรับปรุง","ไม่ผ่าน")))</f>
        <v/>
      </c>
      <c r="G18" s="9" t="inlineStr"/>
    </row>
    <row r="19">
      <c r="A19" t="inlineStr">
        <is>
          <t>รายงาน</t>
        </is>
      </c>
      <c r="B19" s="3" t="inlineStr">
        <is>
          <t>รายงานงบคงเหลือรายโครงการพร้อมใช้งาน</t>
        </is>
      </c>
      <c r="C19" s="6" t="inlineStr"/>
      <c r="D19" s="7" t="n">
        <v>1</v>
      </c>
      <c r="E19" s="8">
        <f>IF(C19="","",C19*D19)</f>
        <v/>
      </c>
      <c r="F19">
        <f>IF(C19="","",IF(C19=2,"ผ่าน",IF(C19=1,"ต้องปรับปรุง","ไม่ผ่าน")))</f>
        <v/>
      </c>
      <c r="G19" s="9" t="inlineStr"/>
    </row>
    <row r="20">
      <c r="A20" t="inlineStr">
        <is>
          <t>ดิจิทัล</t>
        </is>
      </c>
      <c r="B20" s="3" t="inlineStr">
        <is>
          <t>กำหนดสิทธิ์ผู้ใช้งานตามบทบาท</t>
        </is>
      </c>
      <c r="C20" s="6" t="inlineStr"/>
      <c r="D20" s="7" t="n">
        <v>1</v>
      </c>
      <c r="E20" s="8">
        <f>IF(C20="","",C20*D20)</f>
        <v/>
      </c>
      <c r="F20">
        <f>IF(C20="","",IF(C20=2,"ผ่าน",IF(C20=1,"ต้องปรับปรุง","ไม่ผ่าน")))</f>
        <v/>
      </c>
      <c r="G20" s="9" t="inlineStr"/>
    </row>
    <row r="21">
      <c r="A21" t="inlineStr">
        <is>
          <t>ดิจิทัล</t>
        </is>
      </c>
      <c r="B21" s="3" t="inlineStr">
        <is>
          <t>มี audit trail และแผนสำรองข้อมูล</t>
        </is>
      </c>
      <c r="C21" s="6" t="inlineStr"/>
      <c r="D21" s="7" t="n">
        <v>1</v>
      </c>
      <c r="E21" s="8">
        <f>IF(C21="","",C21*D21)</f>
        <v/>
      </c>
      <c r="F21">
        <f>IF(C21="","",IF(C21=2,"ผ่าน",IF(C21=1,"ต้องปรับปรุง","ไม่ผ่าน")))</f>
        <v/>
      </c>
      <c r="G21" s="9" t="inlineStr"/>
    </row>
    <row r="22">
      <c r="B22" s="3" t="n"/>
    </row>
    <row r="23">
      <c r="A23" s="2" t="inlineStr">
        <is>
          <t>สรุปคะแนน</t>
        </is>
      </c>
      <c r="B23" s="3" t="inlineStr">
        <is>
          <t>คะแนนรวม</t>
        </is>
      </c>
      <c r="E23">
        <f>SUM(E2:E21)</f>
        <v/>
      </c>
    </row>
    <row r="24">
      <c r="B24" s="3" t="inlineStr">
        <is>
          <t>คะแนนเต็ม</t>
        </is>
      </c>
      <c r="E24">
        <f>SUM(D2:D21)*2</f>
        <v/>
      </c>
    </row>
    <row r="25">
      <c r="B25" s="3" t="inlineStr">
        <is>
          <t>ร้อยละ</t>
        </is>
      </c>
      <c r="E25" s="10">
        <f>IF(E24=0,"",E23/E24)</f>
        <v/>
      </c>
    </row>
    <row r="26">
      <c r="B26" s="3" t="inlineStr">
        <is>
          <t>ระดับผลประเมิน</t>
        </is>
      </c>
      <c r="E26">
        <f>IF(E25="","",IF(E25&gt;=0.8,"ดีมาก",IF(E25&gt;=0.6,"พอใช้","เสี่ยงสูง")))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conditionalFormatting sqref="F2:F21">
    <cfRule type="expression" priority="1" dxfId="0">
      <formula>F2="ผ่าน"</formula>
    </cfRule>
    <cfRule type="expression" priority="2" dxfId="1">
      <formula>F2="ต้องปรับปรุง"</formula>
    </cfRule>
    <cfRule type="expression" priority="3" dxfId="2">
      <formula>F2="ไม่ผ่าน"</formula>
    </cfRule>
  </conditionalFormatting>
  <dataValidations count="1">
    <dataValidation sqref="C2:C21" showDropDown="0" showInputMessage="0" showErrorMessage="0" allowBlank="0" errorTitle="คะแนนไม่ถูกต้อง" error="กรอกได้เฉพาะ 0, 1, หรือ 2" promptTitle="เกณฑ์การให้คะแนน" prompt="คะแนน: 2=ผ่าน, 1=ต้องปรับปรุง, 0=ไม่ผ่าน" type="whole" operator="between">
      <formula1>0</formula1>
      <formula2>2</formula2>
    </dataValidation>
  </dataValidations>
  <printOptions horizontalCentered="1"/>
  <pageMargins left="0.35" right="0.35" top="0.5" bottom="0.5" header="0.3" footer="0.3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30" customWidth="1" min="4" max="4"/>
    <col width="16" customWidth="1" min="5" max="5"/>
    <col width="12" customWidth="1" min="6" max="6"/>
    <col width="12" customWidth="1" min="7" max="7"/>
    <col width="24" customWidth="1" min="8" max="8"/>
    <col width="12" customWidth="1" min="9" max="9"/>
    <col width="14" customWidth="1" min="10" max="10"/>
    <col width="20" customWidth="1" min="11" max="11"/>
  </cols>
  <sheetData>
    <row r="1">
      <c r="A1" s="5" t="inlineStr">
        <is>
          <t>ลำดับ</t>
        </is>
      </c>
      <c r="B1" s="5" t="inlineStr">
        <is>
          <t>ประเด็นที่ไม่ผ่าน/ต้องปรับปรุง</t>
        </is>
      </c>
      <c r="C1" s="5" t="inlineStr">
        <is>
          <t>สาเหตุราก (Root Cause)</t>
        </is>
      </c>
      <c r="D1" s="5" t="inlineStr">
        <is>
          <t>แผนแก้ไข</t>
        </is>
      </c>
      <c r="E1" s="5" t="inlineStr">
        <is>
          <t>ผู้รับผิดชอบ</t>
        </is>
      </c>
      <c r="F1" s="5" t="inlineStr">
        <is>
          <t>วันเริ่ม</t>
        </is>
      </c>
      <c r="G1" s="5" t="inlineStr">
        <is>
          <t>กำหนดเสร็จ</t>
        </is>
      </c>
      <c r="H1" s="5" t="inlineStr">
        <is>
          <t>หลักฐานที่ต้องมี</t>
        </is>
      </c>
      <c r="I1" s="5" t="inlineStr">
        <is>
          <t>% ความคืบหน้า</t>
        </is>
      </c>
      <c r="J1" s="5" t="inlineStr">
        <is>
          <t>สถานะ</t>
        </is>
      </c>
      <c r="K1" s="5" t="inlineStr">
        <is>
          <t>หมายเหตุ</t>
        </is>
      </c>
    </row>
    <row r="2">
      <c r="A2" t="n">
        <v>1</v>
      </c>
      <c r="B2" s="4" t="inlineStr"/>
      <c r="C2" s="4" t="inlineStr"/>
      <c r="D2" s="4" t="inlineStr"/>
      <c r="E2" s="9" t="inlineStr"/>
      <c r="F2" s="9" t="inlineStr"/>
      <c r="G2" s="9" t="inlineStr"/>
      <c r="H2" s="9" t="inlineStr"/>
      <c r="I2" s="11" t="inlineStr"/>
      <c r="J2" s="9" t="inlineStr">
        <is>
          <t>ยังไม่เริ่ม</t>
        </is>
      </c>
      <c r="K2" s="9" t="inlineStr"/>
    </row>
    <row r="3">
      <c r="A3" t="n">
        <v>2</v>
      </c>
      <c r="B3" s="4" t="inlineStr"/>
      <c r="C3" s="4" t="inlineStr"/>
      <c r="D3" s="4" t="inlineStr"/>
      <c r="E3" s="9" t="inlineStr"/>
      <c r="F3" s="9" t="inlineStr"/>
      <c r="G3" s="9" t="inlineStr"/>
      <c r="H3" s="9" t="inlineStr"/>
      <c r="I3" s="11" t="inlineStr"/>
      <c r="J3" s="9" t="inlineStr">
        <is>
          <t>ยังไม่เริ่ม</t>
        </is>
      </c>
      <c r="K3" s="9" t="inlineStr"/>
    </row>
    <row r="4">
      <c r="A4" t="n">
        <v>3</v>
      </c>
      <c r="B4" s="4" t="inlineStr"/>
      <c r="C4" s="4" t="inlineStr"/>
      <c r="D4" s="4" t="inlineStr"/>
      <c r="E4" s="9" t="inlineStr"/>
      <c r="F4" s="9" t="inlineStr"/>
      <c r="G4" s="9" t="inlineStr"/>
      <c r="H4" s="9" t="inlineStr"/>
      <c r="I4" s="11" t="inlineStr"/>
      <c r="J4" s="9" t="inlineStr">
        <is>
          <t>ยังไม่เริ่ม</t>
        </is>
      </c>
      <c r="K4" s="9" t="inlineStr"/>
    </row>
    <row r="5">
      <c r="A5" t="n">
        <v>4</v>
      </c>
      <c r="B5" s="4" t="inlineStr"/>
      <c r="C5" s="4" t="inlineStr"/>
      <c r="D5" s="4" t="inlineStr"/>
      <c r="E5" s="9" t="inlineStr"/>
      <c r="F5" s="9" t="inlineStr"/>
      <c r="G5" s="9" t="inlineStr"/>
      <c r="H5" s="9" t="inlineStr"/>
      <c r="I5" s="11" t="inlineStr"/>
      <c r="J5" s="9" t="inlineStr">
        <is>
          <t>ยังไม่เริ่ม</t>
        </is>
      </c>
      <c r="K5" s="9" t="inlineStr"/>
    </row>
    <row r="6">
      <c r="A6" t="n">
        <v>5</v>
      </c>
      <c r="B6" s="4" t="inlineStr"/>
      <c r="C6" s="4" t="inlineStr"/>
      <c r="D6" s="4" t="inlineStr"/>
      <c r="E6" s="9" t="inlineStr"/>
      <c r="F6" s="9" t="inlineStr"/>
      <c r="G6" s="9" t="inlineStr"/>
      <c r="H6" s="9" t="inlineStr"/>
      <c r="I6" s="11" t="inlineStr"/>
      <c r="J6" s="9" t="inlineStr">
        <is>
          <t>ยังไม่เริ่ม</t>
        </is>
      </c>
      <c r="K6" s="9" t="inlineStr"/>
    </row>
    <row r="7">
      <c r="A7" t="n">
        <v>6</v>
      </c>
      <c r="B7" s="4" t="inlineStr"/>
      <c r="C7" s="4" t="inlineStr"/>
      <c r="D7" s="4" t="inlineStr"/>
      <c r="E7" s="9" t="inlineStr"/>
      <c r="F7" s="9" t="inlineStr"/>
      <c r="G7" s="9" t="inlineStr"/>
      <c r="H7" s="9" t="inlineStr"/>
      <c r="I7" s="11" t="inlineStr"/>
      <c r="J7" s="9" t="inlineStr">
        <is>
          <t>ยังไม่เริ่ม</t>
        </is>
      </c>
      <c r="K7" s="9" t="inlineStr"/>
    </row>
    <row r="8">
      <c r="A8" t="n">
        <v>7</v>
      </c>
      <c r="B8" s="4" t="inlineStr"/>
      <c r="C8" s="4" t="inlineStr"/>
      <c r="D8" s="4" t="inlineStr"/>
      <c r="E8" s="9" t="inlineStr"/>
      <c r="F8" s="9" t="inlineStr"/>
      <c r="G8" s="9" t="inlineStr"/>
      <c r="H8" s="9" t="inlineStr"/>
      <c r="I8" s="11" t="inlineStr"/>
      <c r="J8" s="9" t="inlineStr">
        <is>
          <t>ยังไม่เริ่ม</t>
        </is>
      </c>
      <c r="K8" s="9" t="inlineStr"/>
    </row>
    <row r="9">
      <c r="A9" t="n">
        <v>8</v>
      </c>
      <c r="B9" s="4" t="inlineStr"/>
      <c r="C9" s="4" t="inlineStr"/>
      <c r="D9" s="4" t="inlineStr"/>
      <c r="E9" s="9" t="inlineStr"/>
      <c r="F9" s="9" t="inlineStr"/>
      <c r="G9" s="9" t="inlineStr"/>
      <c r="H9" s="9" t="inlineStr"/>
      <c r="I9" s="11" t="inlineStr"/>
      <c r="J9" s="9" t="inlineStr">
        <is>
          <t>ยังไม่เริ่ม</t>
        </is>
      </c>
      <c r="K9" s="9" t="inlineStr"/>
    </row>
    <row r="10">
      <c r="A10" t="n">
        <v>9</v>
      </c>
      <c r="B10" s="4" t="inlineStr"/>
      <c r="C10" s="4" t="inlineStr"/>
      <c r="D10" s="4" t="inlineStr"/>
      <c r="E10" s="9" t="inlineStr"/>
      <c r="F10" s="9" t="inlineStr"/>
      <c r="G10" s="9" t="inlineStr"/>
      <c r="H10" s="9" t="inlineStr"/>
      <c r="I10" s="11" t="inlineStr"/>
      <c r="J10" s="9" t="inlineStr">
        <is>
          <t>ยังไม่เริ่ม</t>
        </is>
      </c>
      <c r="K10" s="9" t="inlineStr"/>
    </row>
    <row r="11">
      <c r="A11" t="n">
        <v>10</v>
      </c>
      <c r="B11" s="4" t="inlineStr"/>
      <c r="C11" s="4" t="inlineStr"/>
      <c r="D11" s="4" t="inlineStr"/>
      <c r="E11" s="9" t="inlineStr"/>
      <c r="F11" s="9" t="inlineStr"/>
      <c r="G11" s="9" t="inlineStr"/>
      <c r="H11" s="9" t="inlineStr"/>
      <c r="I11" s="11" t="inlineStr"/>
      <c r="J11" s="9" t="inlineStr">
        <is>
          <t>ยังไม่เริ่ม</t>
        </is>
      </c>
      <c r="K11" s="9" t="inlineStr"/>
    </row>
    <row r="12">
      <c r="B12" s="3" t="n"/>
      <c r="C12" s="3" t="n"/>
      <c r="D12" s="3" t="n"/>
    </row>
    <row r="13">
      <c r="A13" t="inlineStr">
        <is>
          <t>สรุป</t>
        </is>
      </c>
      <c r="B13" s="3" t="inlineStr">
        <is>
          <t>จำนวนรายการ</t>
        </is>
      </c>
      <c r="C13" s="3">
        <f>COUNTA(A2:A11)</f>
        <v/>
      </c>
      <c r="D13" s="3" t="n"/>
    </row>
    <row r="14">
      <c r="B14" s="3" t="inlineStr">
        <is>
          <t>เสร็จแล้ว</t>
        </is>
      </c>
      <c r="C14" s="3">
        <f>COUNTIF(J2:J11,"เสร็จ")</f>
        <v/>
      </c>
      <c r="D14" s="3" t="n"/>
    </row>
    <row r="15">
      <c r="B15" s="3" t="inlineStr">
        <is>
          <t>อัตราเสร็จสิ้น</t>
        </is>
      </c>
      <c r="C15" s="12">
        <f>IF(C13=0,"",C14/C13)</f>
        <v/>
      </c>
      <c r="D15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dataValidations count="2">
    <dataValidation sqref="J2:J11" showDropDown="0" showInputMessage="0" showErrorMessage="0" allowBlank="0" type="list">
      <formula1>"ยังไม่เริ่ม,กำลังดำเนินการ,รอตรวจทาน,เสร็จ"</formula1>
    </dataValidation>
    <dataValidation sqref="I2:I11" showDropDown="0" showInputMessage="0" showErrorMessage="0" allowBlank="0" errorTitle="ค่าความคืบหน้าไม่ถูกต้อง" error="กรอกค่าระหว่าง 0 ถึง 1 (เช่น 0.25 = 25%)" type="decimal" operator="between">
      <formula1>0</formula1>
      <formula2>1</formula2>
    </dataValidation>
  </dataValidations>
  <printOptions horizontalCentered="1"/>
  <pageMargins left="0.35" right="0.35" top="0.5" bottom="0.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68" customWidth="1" min="2" max="2"/>
  </cols>
  <sheetData>
    <row r="1">
      <c r="A1" s="5" t="inlineStr">
        <is>
          <t>หัวข้อ</t>
        </is>
      </c>
      <c r="B1" s="5" t="inlineStr">
        <is>
          <t>ค่า</t>
        </is>
      </c>
      <c r="C1" s="5" t="n"/>
      <c r="D1" s="5" t="n"/>
    </row>
    <row r="2">
      <c r="A2" t="inlineStr">
        <is>
          <t>ชื่อโรงเรียน</t>
        </is>
      </c>
      <c r="B2" s="3">
        <f>'หน้าปก'!B6</f>
        <v/>
      </c>
    </row>
    <row r="3">
      <c r="A3" t="inlineStr">
        <is>
          <t>สังกัด</t>
        </is>
      </c>
      <c r="B3" s="3" t="inlineStr">
        <is>
          <t>สพฐ.</t>
        </is>
      </c>
    </row>
    <row r="4">
      <c r="A4" t="inlineStr">
        <is>
          <t>รอบประเมิน</t>
        </is>
      </c>
      <c r="B4" s="3">
        <f>'หน้าปก'!B10</f>
        <v/>
      </c>
    </row>
    <row r="5">
      <c r="A5" t="inlineStr">
        <is>
          <t>ผู้ประเมิน</t>
        </is>
      </c>
      <c r="B5" s="3">
        <f>'หน้าปก'!B11</f>
        <v/>
      </c>
    </row>
    <row r="6">
      <c r="A6" t="inlineStr">
        <is>
          <t>ปีงบประมาณ</t>
        </is>
      </c>
      <c r="B6" s="3">
        <f>'หน้าปก'!B8</f>
        <v/>
      </c>
    </row>
    <row r="7">
      <c r="A7" t="inlineStr">
        <is>
          <t>ไตรมาส</t>
        </is>
      </c>
      <c r="B7" s="3">
        <f>'หน้าปก'!B9</f>
        <v/>
      </c>
    </row>
    <row r="8">
      <c r="A8" t="inlineStr">
        <is>
          <t>คะแนนรวม</t>
        </is>
      </c>
      <c r="B8" s="3">
        <f>'เช็กลิสต์มาตรฐาน'!E23</f>
        <v/>
      </c>
    </row>
    <row r="9">
      <c r="A9" t="inlineStr">
        <is>
          <t>คะแนนเต็ม</t>
        </is>
      </c>
      <c r="B9" s="3">
        <f>'เช็กลิสต์มาตรฐาน'!E24</f>
        <v/>
      </c>
    </row>
    <row r="10">
      <c r="A10" t="inlineStr">
        <is>
          <t>ร้อยละ</t>
        </is>
      </c>
      <c r="B10" s="12">
        <f>'เช็กลิสต์มาตรฐาน'!E25</f>
        <v/>
      </c>
    </row>
    <row r="11">
      <c r="A11" t="inlineStr">
        <is>
          <t>ระดับผลประเมิน</t>
        </is>
      </c>
      <c r="B11" s="3">
        <f>'เช็กลิสต์มาตรฐาน'!E26</f>
        <v/>
      </c>
    </row>
    <row r="12">
      <c r="A12" t="inlineStr">
        <is>
          <t>ความคืบหน้า CAP</t>
        </is>
      </c>
      <c r="B12" s="12">
        <f>'แผนแก้ไข (CAP)'!C15</f>
        <v/>
      </c>
    </row>
    <row r="13">
      <c r="A13" t="inlineStr">
        <is>
          <t>จุดแข็ง 1</t>
        </is>
      </c>
      <c r="B13" s="4" t="inlineStr"/>
    </row>
    <row r="14">
      <c r="A14" t="inlineStr">
        <is>
          <t>จุดแข็ง 2</t>
        </is>
      </c>
      <c r="B14" s="4" t="inlineStr"/>
    </row>
    <row r="15">
      <c r="A15" t="inlineStr">
        <is>
          <t>จุดแข็ง 3</t>
        </is>
      </c>
      <c r="B15" s="4" t="inlineStr"/>
    </row>
    <row r="16">
      <c r="A16" t="inlineStr">
        <is>
          <t>จุดที่ต้องแก้ 1</t>
        </is>
      </c>
      <c r="B16" s="4" t="inlineStr"/>
    </row>
    <row r="17">
      <c r="A17" t="inlineStr">
        <is>
          <t>จุดที่ต้องแก้ 2</t>
        </is>
      </c>
      <c r="B17" s="4" t="inlineStr"/>
    </row>
    <row r="18">
      <c r="A18" t="inlineStr">
        <is>
          <t>จุดที่ต้องแก้ 3</t>
        </is>
      </c>
      <c r="B18" s="4" t="inlineStr"/>
    </row>
    <row r="19">
      <c r="A19" t="inlineStr">
        <is>
          <t>แผนเร่งด่วน สัปดาห์ 1-2</t>
        </is>
      </c>
      <c r="B19" s="4" t="inlineStr"/>
    </row>
    <row r="20">
      <c r="A20" t="inlineStr">
        <is>
          <t>แผนเร่งด่วน สัปดาห์ 3-4</t>
        </is>
      </c>
      <c r="B20" s="4" t="inlineStr"/>
    </row>
    <row r="21">
      <c r="A21" t="inlineStr">
        <is>
          <t>แผนเร่งด่วน เดือนที่ 2</t>
        </is>
      </c>
      <c r="B21" s="4" t="inlineStr"/>
    </row>
    <row r="22">
      <c r="A22" t="inlineStr">
        <is>
          <t>ความเสี่ยงหากไม่แก้ไข</t>
        </is>
      </c>
      <c r="B22" s="4" t="inlineStr"/>
    </row>
    <row r="23">
      <c r="A23" t="inlineStr">
        <is>
          <t>คำสั่งผู้อำนวยการ</t>
        </is>
      </c>
      <c r="B23" s="4" t="inlineStr"/>
    </row>
    <row r="24">
      <c r="A24" t="inlineStr">
        <is>
          <t>วันที่อนุมัติ</t>
        </is>
      </c>
      <c r="B24" s="4" t="inlineStr"/>
    </row>
    <row r="25">
      <c r="A25" t="inlineStr">
        <is>
          <t>ผู้จัดทำ</t>
        </is>
      </c>
      <c r="B25" s="4" t="inlineStr"/>
    </row>
    <row r="26">
      <c r="A26" t="inlineStr">
        <is>
          <t>ตำแหน่ง</t>
        </is>
      </c>
      <c r="B26" s="4" t="inlineStr"/>
    </row>
    <row r="27">
      <c r="B27" s="3" t="n"/>
    </row>
    <row r="28">
      <c r="B28" s="3" t="n"/>
    </row>
    <row r="29">
      <c r="A29" s="2" t="inlineStr">
        <is>
          <t>ลงนาม</t>
        </is>
      </c>
      <c r="B29" s="3" t="n"/>
    </row>
    <row r="30">
      <c r="A30" t="inlineStr">
        <is>
          <t>ผู้จัดทำ</t>
        </is>
      </c>
      <c r="B30" s="3" t="inlineStr">
        <is>
          <t>....................................................</t>
        </is>
      </c>
    </row>
    <row r="31">
      <c r="A31" t="inlineStr">
        <is>
          <t>วันที่</t>
        </is>
      </c>
      <c r="B31" s="13" t="inlineStr"/>
    </row>
    <row r="32">
      <c r="B32" s="3" t="n"/>
    </row>
    <row r="33">
      <c r="A33" t="inlineStr">
        <is>
          <t>ผู้ตรวจทาน</t>
        </is>
      </c>
      <c r="B33" s="3" t="inlineStr">
        <is>
          <t>....................................................</t>
        </is>
      </c>
    </row>
    <row r="34">
      <c r="A34" t="inlineStr">
        <is>
          <t>วันที่</t>
        </is>
      </c>
      <c r="B34" s="13" t="inlineStr"/>
    </row>
    <row r="35">
      <c r="B35" s="3" t="n"/>
    </row>
    <row r="36">
      <c r="A36" t="inlineStr">
        <is>
          <t>ผู้อำนวยการโรงเรียน</t>
        </is>
      </c>
      <c r="B36" s="3" t="inlineStr">
        <is>
          <t>....................................................</t>
        </is>
      </c>
    </row>
    <row r="37">
      <c r="A37" t="inlineStr">
        <is>
          <t>วันที่</t>
        </is>
      </c>
      <c r="B37" s="13" t="inlineStr"/>
    </row>
    <row r="38">
      <c r="B38" s="3" t="n"/>
    </row>
    <row r="39">
      <c r="A39" s="2" t="inlineStr">
        <is>
          <t>ความเห็นผู้ตรวจสอบ/ข้อเสนอแนะ</t>
        </is>
      </c>
      <c r="B39" s="4" t="inlineStr"/>
    </row>
    <row r="40">
      <c r="B40" s="4" t="n"/>
    </row>
    <row r="41">
      <c r="B41" s="4" t="n"/>
    </row>
    <row r="42">
      <c r="B42" s="4" t="n"/>
    </row>
    <row r="43">
      <c r="B43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B39:D43"/>
  </mergeCells>
  <conditionalFormatting sqref="B10">
    <cfRule type="expression" priority="1" dxfId="0">
      <formula>B10&gt;=0.8</formula>
    </cfRule>
    <cfRule type="expression" priority="2" dxfId="1">
      <formula>AND(B10&gt;=0.6,B10&lt;0.8)</formula>
    </cfRule>
    <cfRule type="expression" priority="3" dxfId="2">
      <formula>B10&lt;0.6</formula>
    </cfRule>
  </conditionalFormatting>
  <conditionalFormatting sqref="B12">
    <cfRule type="expression" priority="4" dxfId="0">
      <formula>B12&gt;=0.8</formula>
    </cfRule>
    <cfRule type="expression" priority="5" dxfId="1">
      <formula>AND(B12&gt;=0.6,B12&lt;0.8)</formula>
    </cfRule>
    <cfRule type="expression" priority="6" dxfId="2">
      <formula>B12&lt;0.6</formula>
    </cfRule>
  </conditionalFormatting>
  <dataValidations count="1">
    <dataValidation sqref="B31 B34 B37" showDropDown="0" showInputMessage="0" showErrorMessage="0" allowBlank="0" type="date" operator="between">
      <formula1>DATE(2020,1,1)</formula1>
      <formula2>DATE(2100,12,31)</formula2>
    </dataValidation>
  </dataValidations>
  <printOptions horizontalCentered="1"/>
  <pageMargins left="0.35" right="0.35" top="0.5" bottom="0.5" header="0.3" footer="0.3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8" customWidth="1" min="4" max="4"/>
  </cols>
  <sheetData>
    <row r="1">
      <c r="A1" s="14" t="inlineStr">
        <is>
          <t>Dashboard สรุปความพร้อมการเงินโรงเรียน</t>
        </is>
      </c>
    </row>
    <row r="2"/>
    <row r="3">
      <c r="A3" t="inlineStr">
        <is>
          <t>ชื่อโรงเรียน</t>
        </is>
      </c>
      <c r="B3">
        <f>'หน้าปก'!B6</f>
        <v/>
      </c>
    </row>
    <row r="4">
      <c r="A4" t="inlineStr">
        <is>
          <t>ปีงบประมาณ</t>
        </is>
      </c>
      <c r="B4">
        <f>'หน้าปก'!B8</f>
        <v/>
      </c>
    </row>
    <row r="5">
      <c r="A5" t="inlineStr">
        <is>
          <t>ไตรมาส</t>
        </is>
      </c>
      <c r="B5">
        <f>'หน้าปก'!B9</f>
        <v/>
      </c>
    </row>
    <row r="6"/>
    <row r="7">
      <c r="A7" s="2" t="inlineStr">
        <is>
          <t>ตัวชี้วัดหลัก</t>
        </is>
      </c>
    </row>
    <row r="8">
      <c r="A8" t="inlineStr">
        <is>
          <t>ร้อยละผลประเมินเช็กลิสต์</t>
        </is>
      </c>
      <c r="B8" s="10">
        <f>'เช็กลิสต์มาตรฐาน'!E25</f>
        <v/>
      </c>
    </row>
    <row r="9">
      <c r="A9" t="inlineStr">
        <is>
          <t>ระดับผลประเมิน</t>
        </is>
      </c>
      <c r="B9">
        <f>'เช็กลิสต์มาตรฐาน'!E26</f>
        <v/>
      </c>
    </row>
    <row r="10">
      <c r="A10" t="inlineStr">
        <is>
          <t>ความคืบหน้า CAP</t>
        </is>
      </c>
      <c r="B10" s="10">
        <f>'แผนแก้ไข (CAP)'!C15</f>
        <v/>
      </c>
    </row>
    <row r="11">
      <c r="A11" t="inlineStr">
        <is>
          <t>รายการ CAP ทั้งหมด</t>
        </is>
      </c>
      <c r="B11">
        <f>'แผนแก้ไข (CAP)'!C13</f>
        <v/>
      </c>
    </row>
    <row r="12">
      <c r="A12" t="inlineStr">
        <is>
          <t>รายการ CAP ที่เสร็จ</t>
        </is>
      </c>
      <c r="B12">
        <f>'แผนแก้ไข (CAP)'!C14</f>
        <v/>
      </c>
    </row>
    <row r="13"/>
    <row r="14">
      <c r="A14" t="inlineStr">
        <is>
          <t>สรุปสถานะรวม</t>
        </is>
      </c>
      <c r="B14" s="15">
        <f>IF(B8&gt;=0.8,IF(B10&gt;=0.8,"พร้อมรับการตรวจ","ต้องเร่งติดตาม CAP"),IF(B8&gt;=0.6,"พอใช้ ควรเร่งปรับปรุง","เสี่ยงสูง ต้องแก้ไขด่วน"))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1:D1"/>
    <mergeCell ref="B14:D14"/>
  </mergeCells>
  <conditionalFormatting sqref="B8">
    <cfRule type="expression" priority="1" dxfId="0">
      <formula>B8&gt;=0.8</formula>
    </cfRule>
    <cfRule type="expression" priority="2" dxfId="1">
      <formula>AND(B8&gt;=0.6,B8&lt;0.8)</formula>
    </cfRule>
    <cfRule type="expression" priority="3" dxfId="2">
      <formula>B8&lt;0.6</formula>
    </cfRule>
  </conditionalFormatting>
  <conditionalFormatting sqref="B10">
    <cfRule type="expression" priority="4" dxfId="0">
      <formula>B10&gt;=0.8</formula>
    </cfRule>
    <cfRule type="expression" priority="5" dxfId="1">
      <formula>AND(B10&gt;=0.6,B10&lt;0.8)</formula>
    </cfRule>
    <cfRule type="expression" priority="6" dxfId="2">
      <formula>B10&lt;0.6</formula>
    </cfRule>
  </conditionalFormatting>
  <printOptions horizontalCentered="1"/>
  <pageMargins left="0.35" right="0.35" top="0.5" bottom="0.5" header="0.3" footer="0.3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2026-04-30T06:40:26Z</dcterms:created>
  <dcterms:modified xmlns:dcterms="http://purl.org/dc/terms/" xmlns:xsi="http://www.w3.org/2001/XMLSchema-instance" xsi:type="dcterms:W3CDTF">2026-04-30T06:40:26Z</dcterms:modified>
</cp:coreProperties>
</file>